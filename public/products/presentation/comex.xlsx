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riffo\Desktop\"/>
    </mc:Choice>
  </mc:AlternateContent>
  <xr:revisionPtr revIDLastSave="0" documentId="13_ncr:1_{063E99E4-7B72-4201-93B1-21213E7DC6C5}" xr6:coauthVersionLast="47" xr6:coauthVersionMax="47" xr10:uidLastSave="{00000000-0000-0000-0000-000000000000}"/>
  <bookViews>
    <workbookView xWindow="-108" yWindow="-108" windowWidth="23256" windowHeight="12456" activeTab="1" xr2:uid="{17F3D53E-B798-4F6F-9DEE-2928420BE65A}"/>
  </bookViews>
  <sheets>
    <sheet name="producto" sheetId="4" r:id="rId1"/>
    <sheet name="Hoja3" sheetId="1" r:id="rId2"/>
    <sheet name="Hoja1" sheetId="2" r:id="rId3"/>
    <sheet name="Hoja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" l="1"/>
  <c r="C4" i="4"/>
  <c r="D4" i="4"/>
  <c r="E4" i="4"/>
</calcChain>
</file>

<file path=xl/sharedStrings.xml><?xml version="1.0" encoding="utf-8"?>
<sst xmlns="http://schemas.openxmlformats.org/spreadsheetml/2006/main" count="16" uniqueCount="13">
  <si>
    <t>Objetivo</t>
  </si>
  <si>
    <t>Informe Incumplimiento x Comex</t>
  </si>
  <si>
    <t>D Griffo</t>
  </si>
  <si>
    <t>Incumplimiento</t>
  </si>
  <si>
    <t>Incumplimiento Comex en Unidades</t>
  </si>
  <si>
    <t>año 2025</t>
  </si>
  <si>
    <t>año 2024</t>
  </si>
  <si>
    <t>año 2023</t>
  </si>
  <si>
    <t>año 2022</t>
  </si>
  <si>
    <t>año</t>
  </si>
  <si>
    <t>Lanzamientos. % facturacion lanzamiento vs facturacion actual</t>
  </si>
  <si>
    <t>Lanzamientos AFMKT</t>
  </si>
  <si>
    <t>cantidad de lanzamientos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</si>
</sst>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43" fontId="0" fillId="0" borderId="0" xfId="1" applyFont="1"/>
    <xf numFmtId="10" fontId="0" fillId="0" borderId="0" xfId="2" applyNumberFormat="1" applyFont="1"/>
    <xf numFmtId="164" fontId="0" fillId="0" borderId="0" xfId="1" applyNumberFormat="1" applyFont="1" applyFill="1" applyBorder="1"/>
    <xf numFmtId="3" fontId="0" fillId="0" borderId="0" xfId="0" applyNumberFormat="1"/>
    <xf numFmtId="43" fontId="0" fillId="0" borderId="0" xfId="1" applyFont="1" applyBorder="1"/>
    <xf numFmtId="0" fontId="4" fillId="0" borderId="1" xfId="0" applyFont="1" applyBorder="1"/>
    <xf numFmtId="17" fontId="4" fillId="0" borderId="2" xfId="0" applyNumberFormat="1" applyFont="1" applyBorder="1"/>
    <xf numFmtId="3" fontId="4" fillId="2" borderId="1" xfId="0" applyNumberFormat="1" applyFont="1" applyFill="1" applyBorder="1"/>
    <xf numFmtId="3" fontId="4" fillId="3" borderId="1" xfId="0" applyNumberFormat="1" applyFont="1" applyFill="1" applyBorder="1"/>
    <xf numFmtId="0" fontId="0" fillId="0" borderId="1" xfId="0" applyBorder="1"/>
    <xf numFmtId="165" fontId="0" fillId="0" borderId="1" xfId="2" applyNumberFormat="1" applyFont="1" applyBorder="1"/>
    <xf numFmtId="165" fontId="0" fillId="3" borderId="1" xfId="2" applyNumberFormat="1" applyFont="1" applyFill="1" applyBorder="1"/>
    <xf numFmtId="165" fontId="0" fillId="2" borderId="1" xfId="2" applyNumberFormat="1" applyFont="1" applyFill="1" applyBorder="1"/>
    <xf numFmtId="0" fontId="4" fillId="0" borderId="0" xfId="0" applyFont="1"/>
    <xf numFmtId="165" fontId="0" fillId="0" borderId="0" xfId="2" applyNumberFormat="1" applyFont="1" applyBorder="1"/>
    <xf numFmtId="0" fontId="5" fillId="0" borderId="0" xfId="0" applyFont="1"/>
    <xf numFmtId="0" fontId="2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producto!$A$4</c:f>
              <c:strCache>
                <c:ptCount val="1"/>
                <c:pt idx="0">
                  <c:v>Incumplimiento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producto!$B$3:$E$3</c:f>
              <c:strCache>
                <c:ptCount val="4"/>
                <c:pt idx="0">
                  <c:v>año 2022</c:v>
                </c:pt>
                <c:pt idx="1">
                  <c:v>año 2023</c:v>
                </c:pt>
                <c:pt idx="2">
                  <c:v>año 2024</c:v>
                </c:pt>
                <c:pt idx="3">
                  <c:v>año 2025</c:v>
                </c:pt>
              </c:strCache>
            </c:strRef>
          </c:cat>
          <c:val>
            <c:numRef>
              <c:f>producto!$B$4:$E$4</c:f>
              <c:numCache>
                <c:formatCode>0.0%</c:formatCode>
                <c:ptCount val="4"/>
                <c:pt idx="0">
                  <c:v>2.5666666666666667E-2</c:v>
                </c:pt>
                <c:pt idx="1">
                  <c:v>2.4E-2</c:v>
                </c:pt>
                <c:pt idx="2">
                  <c:v>3.7666666666666668E-2</c:v>
                </c:pt>
                <c:pt idx="3">
                  <c:v>2.7666666666666669E-2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6-46A3-8BA7-1EC36B5CDC68}"/>
            </c:ext>
          </c:extLst>
        </c:ser>
        <c:ser>
          <c:idx val="1"/>
          <c:order val="1"/>
          <c:tx>
            <c:strRef>
              <c:f>producto!$A$5</c:f>
              <c:strCache>
                <c:ptCount val="1"/>
                <c:pt idx="0">
                  <c:v>Objetivo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producto!$B$3:$E$3</c:f>
              <c:strCache>
                <c:ptCount val="4"/>
                <c:pt idx="0">
                  <c:v>año 2022</c:v>
                </c:pt>
                <c:pt idx="1">
                  <c:v>año 2023</c:v>
                </c:pt>
                <c:pt idx="2">
                  <c:v>año 2024</c:v>
                </c:pt>
                <c:pt idx="3">
                  <c:v>año 2025</c:v>
                </c:pt>
              </c:strCache>
            </c:strRef>
          </c:cat>
          <c:val>
            <c:numRef>
              <c:f>producto!$B$5:$E$5</c:f>
              <c:numCache>
                <c:formatCode>0.0%</c:formatCode>
                <c:ptCount val="4"/>
                <c:pt idx="0">
                  <c:v>2.5000000000000001E-2</c:v>
                </c:pt>
                <c:pt idx="1">
                  <c:v>2.5000000000000001E-2</c:v>
                </c:pt>
                <c:pt idx="2">
                  <c:v>2.5000000000000001E-2</c:v>
                </c:pt>
                <c:pt idx="3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6-46A3-8BA7-1EC36B5CDC6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3932399"/>
        <c:axId val="1653928559"/>
      </c:lineChart>
      <c:catAx>
        <c:axId val="165393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53928559"/>
        <c:crosses val="autoZero"/>
        <c:auto val="1"/>
        <c:lblAlgn val="ctr"/>
        <c:lblOffset val="100"/>
        <c:noMultiLvlLbl val="0"/>
      </c:catAx>
      <c:valAx>
        <c:axId val="165392855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5393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Hoja3!$A$4</c:f>
              <c:strCache>
                <c:ptCount val="1"/>
                <c:pt idx="0">
                  <c:v>Incumplimiento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Hoja3!$B$3:$J$3</c:f>
              <c:numCache>
                <c:formatCode>mmm\-yy</c:formatCode>
                <c:ptCount val="9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</c:numCache>
            </c:numRef>
          </c:cat>
          <c:val>
            <c:numRef>
              <c:f>Hoja3!$B$4:$J$4</c:f>
              <c:numCache>
                <c:formatCode>#,##0</c:formatCode>
                <c:ptCount val="9"/>
                <c:pt idx="0">
                  <c:v>185</c:v>
                </c:pt>
                <c:pt idx="1">
                  <c:v>301</c:v>
                </c:pt>
                <c:pt idx="2">
                  <c:v>0</c:v>
                </c:pt>
                <c:pt idx="3">
                  <c:v>0</c:v>
                </c:pt>
                <c:pt idx="4">
                  <c:v>174</c:v>
                </c:pt>
                <c:pt idx="5">
                  <c:v>24</c:v>
                </c:pt>
                <c:pt idx="6">
                  <c:v>36</c:v>
                </c:pt>
                <c:pt idx="7">
                  <c:v>120</c:v>
                </c:pt>
                <c:pt idx="8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6F-4134-90C3-94B69519ED74}"/>
            </c:ext>
          </c:extLst>
        </c:ser>
        <c:ser>
          <c:idx val="1"/>
          <c:order val="1"/>
          <c:tx>
            <c:strRef>
              <c:f>Hoja3!$A$5</c:f>
              <c:strCache>
                <c:ptCount val="1"/>
                <c:pt idx="0">
                  <c:v>Objetivo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Hoja3!$B$3:$J$3</c:f>
              <c:numCache>
                <c:formatCode>mmm\-yy</c:formatCode>
                <c:ptCount val="9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</c:numCache>
            </c:numRef>
          </c:cat>
          <c:val>
            <c:numRef>
              <c:f>Hoja3!$B$5:$J$5</c:f>
              <c:numCache>
                <c:formatCode>General</c:formatCode>
                <c:ptCount val="9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6F-4134-90C3-94B69519ED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1445407"/>
        <c:axId val="301445887"/>
      </c:lineChart>
      <c:dateAx>
        <c:axId val="3014454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1445887"/>
        <c:crosses val="autoZero"/>
        <c:auto val="1"/>
        <c:lblOffset val="100"/>
        <c:baseTimeUnit val="months"/>
      </c:dateAx>
      <c:valAx>
        <c:axId val="3014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144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110490</xdr:rowOff>
    </xdr:from>
    <xdr:to>
      <xdr:col>7</xdr:col>
      <xdr:colOff>723900</xdr:colOff>
      <xdr:row>22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49206A-8C49-4445-8E07-C0CDE1C3B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6</xdr:row>
      <xdr:rowOff>49530</xdr:rowOff>
    </xdr:from>
    <xdr:to>
      <xdr:col>12</xdr:col>
      <xdr:colOff>746760</xdr:colOff>
      <xdr:row>22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769B3D-E8A0-6A66-DF84-71984339A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3127-0356-4E61-A94C-9DE21353AE24}">
  <dimension ref="A1:O7"/>
  <sheetViews>
    <sheetView workbookViewId="0">
      <selection activeCell="F5" sqref="F5"/>
    </sheetView>
  </sheetViews>
  <sheetFormatPr baseColWidth="10" defaultRowHeight="14.4" x14ac:dyDescent="0.3"/>
  <cols>
    <col min="1" max="1" width="20.5546875" customWidth="1"/>
    <col min="2" max="4" width="8.5546875" bestFit="1" customWidth="1"/>
    <col min="5" max="5" width="15.5546875" customWidth="1"/>
    <col min="6" max="6" width="13.33203125" bestFit="1" customWidth="1"/>
  </cols>
  <sheetData>
    <row r="1" spans="1:15" s="2" customFormat="1" ht="25.8" x14ac:dyDescent="0.5">
      <c r="A1" s="19" t="s">
        <v>11</v>
      </c>
      <c r="B1" s="19"/>
      <c r="C1" s="19"/>
      <c r="D1" s="19"/>
      <c r="E1" s="19"/>
      <c r="J1" s="2" t="s">
        <v>2</v>
      </c>
    </row>
    <row r="2" spans="1:15" s="2" customFormat="1" ht="25.8" x14ac:dyDescent="0.5">
      <c r="A2" s="1" t="s">
        <v>10</v>
      </c>
    </row>
    <row r="3" spans="1:15" ht="18" x14ac:dyDescent="0.35">
      <c r="A3" s="8" t="s">
        <v>9</v>
      </c>
      <c r="B3" s="12" t="s">
        <v>8</v>
      </c>
      <c r="C3" s="12" t="s">
        <v>7</v>
      </c>
      <c r="D3" s="12" t="s">
        <v>6</v>
      </c>
      <c r="E3" s="12" t="s">
        <v>5</v>
      </c>
      <c r="G3" s="5"/>
    </row>
    <row r="4" spans="1:15" ht="18" x14ac:dyDescent="0.35">
      <c r="A4" s="8" t="s">
        <v>3</v>
      </c>
      <c r="B4" s="14">
        <f>7.7/300</f>
        <v>2.5666666666666667E-2</v>
      </c>
      <c r="C4" s="15">
        <f>7.2/300</f>
        <v>2.4E-2</v>
      </c>
      <c r="D4" s="14">
        <f>11.3/300</f>
        <v>3.7666666666666668E-2</v>
      </c>
      <c r="E4" s="14">
        <f>8.3/300</f>
        <v>2.7666666666666669E-2</v>
      </c>
      <c r="F4" s="6"/>
      <c r="G4" s="6"/>
      <c r="H4" s="7"/>
      <c r="I4" s="3"/>
      <c r="J4" s="3"/>
      <c r="K4" s="3"/>
      <c r="L4" s="3"/>
      <c r="M4" s="3"/>
      <c r="N4" s="3"/>
      <c r="O4" s="3"/>
    </row>
    <row r="5" spans="1:15" ht="18" x14ac:dyDescent="0.35">
      <c r="A5" s="8" t="s">
        <v>0</v>
      </c>
      <c r="B5" s="13">
        <v>2.5000000000000001E-2</v>
      </c>
      <c r="C5" s="13">
        <v>2.5000000000000001E-2</v>
      </c>
      <c r="D5" s="13">
        <v>2.5000000000000001E-2</v>
      </c>
      <c r="E5" s="13">
        <v>2.5000000000000001E-2</v>
      </c>
      <c r="G5" s="4"/>
    </row>
    <row r="6" spans="1:15" ht="18" x14ac:dyDescent="0.35">
      <c r="A6" s="16"/>
      <c r="B6" s="17"/>
      <c r="C6" s="17"/>
      <c r="D6" s="17"/>
      <c r="E6" s="17"/>
      <c r="G6" s="4"/>
    </row>
    <row r="7" spans="1:15" x14ac:dyDescent="0.3">
      <c r="A7" s="18" t="s">
        <v>12</v>
      </c>
      <c r="B7">
        <v>12</v>
      </c>
      <c r="C7">
        <v>7</v>
      </c>
      <c r="D7">
        <v>8</v>
      </c>
      <c r="E7">
        <v>24</v>
      </c>
      <c r="G7" s="4"/>
    </row>
  </sheetData>
  <mergeCells count="1">
    <mergeCell ref="A1:E1"/>
  </mergeCells>
  <pageMargins left="0.7" right="0.7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A62A-753C-4CCE-82DB-D931ABA6084C}">
  <dimension ref="A1:T5"/>
  <sheetViews>
    <sheetView tabSelected="1" workbookViewId="0">
      <selection activeCell="N9" sqref="N9"/>
    </sheetView>
  </sheetViews>
  <sheetFormatPr baseColWidth="10" defaultRowHeight="14.4" x14ac:dyDescent="0.3"/>
  <cols>
    <col min="1" max="1" width="20" customWidth="1"/>
    <col min="2" max="2" width="8.5546875" bestFit="1" customWidth="1"/>
    <col min="3" max="3" width="8.88671875" customWidth="1"/>
    <col min="4" max="4" width="8.77734375" bestFit="1" customWidth="1"/>
    <col min="5" max="5" width="7.77734375" bestFit="1" customWidth="1"/>
    <col min="6" max="6" width="8.21875" bestFit="1" customWidth="1"/>
    <col min="7" max="7" width="9.109375" customWidth="1"/>
    <col min="8" max="8" width="8.88671875" bestFit="1" customWidth="1"/>
    <col min="9" max="9" width="9.77734375" customWidth="1"/>
    <col min="10" max="10" width="8.21875" bestFit="1" customWidth="1"/>
  </cols>
  <sheetData>
    <row r="1" spans="1:20" s="2" customFormat="1" ht="25.8" x14ac:dyDescent="0.5">
      <c r="B1" s="2" t="s">
        <v>1</v>
      </c>
      <c r="J1" s="2" t="s">
        <v>2</v>
      </c>
    </row>
    <row r="2" spans="1:20" s="2" customFormat="1" ht="25.8" x14ac:dyDescent="0.5">
      <c r="A2" s="1" t="s">
        <v>4</v>
      </c>
    </row>
    <row r="3" spans="1:20" ht="18" x14ac:dyDescent="0.35">
      <c r="A3" s="8"/>
      <c r="B3" s="9">
        <v>45748</v>
      </c>
      <c r="C3" s="9">
        <v>45778</v>
      </c>
      <c r="D3" s="9">
        <v>45809</v>
      </c>
      <c r="E3" s="9">
        <v>45839</v>
      </c>
      <c r="F3" s="9">
        <v>45870</v>
      </c>
      <c r="G3" s="9">
        <v>45901</v>
      </c>
      <c r="H3" s="9">
        <v>45931</v>
      </c>
      <c r="I3" s="9">
        <v>45962</v>
      </c>
      <c r="J3" s="9">
        <v>45992</v>
      </c>
      <c r="L3" s="5"/>
    </row>
    <row r="4" spans="1:20" ht="18" x14ac:dyDescent="0.35">
      <c r="A4" s="8" t="s">
        <v>3</v>
      </c>
      <c r="B4" s="11">
        <v>185</v>
      </c>
      <c r="C4" s="10">
        <v>301</v>
      </c>
      <c r="D4" s="11">
        <v>0</v>
      </c>
      <c r="E4" s="11">
        <v>0</v>
      </c>
      <c r="F4" s="11">
        <v>174</v>
      </c>
      <c r="G4" s="11">
        <v>24</v>
      </c>
      <c r="H4" s="11">
        <v>36</v>
      </c>
      <c r="I4" s="11">
        <v>120</v>
      </c>
      <c r="J4" s="11">
        <v>58</v>
      </c>
      <c r="K4" s="6"/>
      <c r="L4" s="6"/>
      <c r="M4" s="7"/>
      <c r="N4" s="3"/>
      <c r="O4" s="3"/>
      <c r="P4" s="3"/>
      <c r="Q4" s="3"/>
      <c r="R4" s="3"/>
      <c r="S4" s="3"/>
      <c r="T4" s="3"/>
    </row>
    <row r="5" spans="1:20" ht="18" x14ac:dyDescent="0.35">
      <c r="A5" s="8" t="s">
        <v>0</v>
      </c>
      <c r="B5" s="8">
        <v>200</v>
      </c>
      <c r="C5" s="8">
        <v>200</v>
      </c>
      <c r="D5" s="8">
        <v>200</v>
      </c>
      <c r="E5" s="8">
        <v>200</v>
      </c>
      <c r="F5" s="8">
        <v>200</v>
      </c>
      <c r="G5" s="8">
        <v>200</v>
      </c>
      <c r="H5" s="8">
        <v>200</v>
      </c>
      <c r="I5" s="8">
        <v>200</v>
      </c>
      <c r="J5" s="8">
        <v>200</v>
      </c>
      <c r="L5" s="4"/>
    </row>
  </sheetData>
  <pageMargins left="0.7" right="0.7" top="0.75" bottom="0.75" header="0.3" footer="0.3"/>
  <pageSetup paperSize="9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825A-DA2A-4FB8-9927-A67B3D40BEC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4723D-72A5-44F1-80B9-6EBAB73A206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</vt:lpstr>
      <vt:lpstr>Hoja3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Griffo</dc:creator>
  <cp:lastModifiedBy>Diego Griffo</cp:lastModifiedBy>
  <cp:lastPrinted>2026-01-19T16:44:12Z</cp:lastPrinted>
  <dcterms:created xsi:type="dcterms:W3CDTF">2025-12-05T16:30:11Z</dcterms:created>
  <dcterms:modified xsi:type="dcterms:W3CDTF">2026-01-19T16:44:14Z</dcterms:modified>
</cp:coreProperties>
</file>